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lbin\Desktop\Data entri\"/>
    </mc:Choice>
  </mc:AlternateContent>
  <xr:revisionPtr revIDLastSave="0" documentId="13_ncr:1_{0555F131-DD5D-4ACA-A9D7-48B753ABAE9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2" i="2"/>
  <c r="O12" i="2"/>
  <c r="O11" i="2"/>
  <c r="O8" i="2"/>
  <c r="O7" i="2"/>
  <c r="O4" i="2"/>
  <c r="O3" i="2"/>
  <c r="O2" i="2"/>
</calcChain>
</file>

<file path=xl/sharedStrings.xml><?xml version="1.0" encoding="utf-8"?>
<sst xmlns="http://schemas.openxmlformats.org/spreadsheetml/2006/main" count="199" uniqueCount="139">
  <si>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</si>
  <si>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</si>
  <si>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</si>
  <si>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</si>
  <si>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</si>
  <si>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</si>
  <si>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</si>
  <si>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</si>
  <si>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</si>
  <si>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</si>
  <si>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</si>
  <si>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</si>
  <si>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</si>
  <si>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</si>
  <si>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</si>
  <si>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</si>
  <si>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</si>
  <si>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</si>
  <si>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</si>
  <si>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</si>
  <si>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</si>
  <si>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</si>
  <si>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</si>
  <si>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</si>
  <si>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</si>
  <si>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</si>
  <si>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</si>
  <si>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</si>
  <si>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</si>
  <si>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</si>
  <si>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</si>
  <si>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</si>
  <si>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</si>
  <si>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</si>
  <si>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</si>
  <si>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</si>
  <si>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</si>
  <si>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</si>
  <si>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</si>
  <si>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</si>
  <si>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</si>
  <si>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</si>
  <si>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</si>
  <si>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</si>
  <si>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</si>
  <si>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</si>
  <si>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</si>
  <si>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</si>
  <si>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</si>
  <si>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</si>
  <si>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</si>
  <si>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</si>
  <si>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</si>
  <si>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</si>
  <si>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</si>
  <si>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</si>
  <si>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</si>
  <si>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</si>
  <si>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</si>
  <si>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</si>
  <si>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</si>
  <si>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</si>
  <si>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</si>
  <si>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</si>
  <si>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</si>
  <si>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</si>
  <si>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</si>
  <si>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</si>
  <si>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</si>
  <si>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</si>
  <si>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</si>
  <si>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</si>
  <si>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</si>
  <si>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</si>
  <si>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</si>
  <si>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</si>
  <si>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</si>
  <si>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</si>
  <si>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</si>
  <si>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</si>
  <si>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</si>
  <si>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</si>
  <si>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</si>
  <si>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</si>
  <si>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</si>
  <si>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</si>
  <si>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</si>
  <si>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</si>
  <si>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</si>
  <si>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</si>
  <si>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</si>
  <si>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</si>
  <si>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</si>
  <si>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</si>
  <si>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</si>
  <si>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</si>
  <si>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</si>
  <si>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</si>
  <si>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</si>
  <si>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</si>
  <si>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</si>
  <si>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</si>
  <si>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</si>
  <si>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</si>
  <si>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</si>
  <si>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</si>
  <si>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</si>
  <si>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</si>
  <si>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</si>
  <si>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</si>
  <si>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</si>
  <si>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SUM,COUNT,AVERAGE</t>
  </si>
  <si>
    <t>No.of.products</t>
  </si>
  <si>
    <t>Average Price</t>
  </si>
  <si>
    <t>MIN and MAX</t>
  </si>
  <si>
    <t>IF FUNCTION</t>
  </si>
  <si>
    <t>Minimum Price</t>
  </si>
  <si>
    <t>Maximum Price</t>
  </si>
  <si>
    <t>Electronics Total price</t>
  </si>
  <si>
    <t>No.of Products less than price 100</t>
  </si>
  <si>
    <t xml:space="preserve"> Text Formatting - LEFT, RIGHT, MID</t>
  </si>
  <si>
    <t>Day</t>
  </si>
  <si>
    <t>Country Code</t>
  </si>
  <si>
    <t>Month</t>
  </si>
  <si>
    <t>SUMIF AND COUNT FUNCTION</t>
  </si>
  <si>
    <t>Price Range</t>
  </si>
  <si>
    <t>Column1</t>
  </si>
  <si>
    <t>Column2</t>
  </si>
  <si>
    <r>
      <t>To find total price, sum column from d3 to d35</t>
    </r>
    <r>
      <rPr>
        <b/>
        <sz val="10"/>
        <color rgb="FF000000"/>
        <rFont val="Arial"/>
        <family val="2"/>
        <scheme val="minor"/>
      </rPr>
      <t>(=SUM(D2:D35))</t>
    </r>
  </si>
  <si>
    <r>
      <rPr>
        <sz val="10"/>
        <color theme="1"/>
        <rFont val="Arial"/>
        <family val="2"/>
        <scheme val="minor"/>
      </rPr>
      <t xml:space="preserve">To know the number of products in dataset use formula </t>
    </r>
    <r>
      <rPr>
        <b/>
        <sz val="10"/>
        <color theme="1"/>
        <rFont val="Arial"/>
        <family val="2"/>
        <scheme val="minor"/>
      </rPr>
      <t>=COUNT(D2:D35</t>
    </r>
    <r>
      <rPr>
        <b/>
        <sz val="12"/>
        <color theme="1"/>
        <rFont val="Arial"/>
        <family val="2"/>
        <scheme val="minor"/>
      </rPr>
      <t>)</t>
    </r>
  </si>
  <si>
    <r>
      <t xml:space="preserve">To find average price of total products use </t>
    </r>
    <r>
      <rPr>
        <b/>
        <sz val="10"/>
        <color theme="1"/>
        <rFont val="Arial"/>
        <family val="2"/>
        <scheme val="minor"/>
      </rPr>
      <t>=AVERAGE(D2:D35)</t>
    </r>
  </si>
  <si>
    <r>
      <t xml:space="preserve">To find maximum price among all product use </t>
    </r>
    <r>
      <rPr>
        <b/>
        <sz val="10"/>
        <color rgb="FF000000"/>
        <rFont val="Arial"/>
        <family val="2"/>
        <scheme val="minor"/>
      </rPr>
      <t>=Max(D2:D35)</t>
    </r>
  </si>
  <si>
    <r>
      <t xml:space="preserve">To find minimum price among all product use </t>
    </r>
    <r>
      <rPr>
        <b/>
        <sz val="10"/>
        <color rgb="FF000000"/>
        <rFont val="Arial"/>
        <family val="2"/>
        <scheme val="minor"/>
      </rPr>
      <t>=MIN(D2:D35)</t>
    </r>
  </si>
  <si>
    <r>
      <t xml:space="preserve">To find particular product category total price use </t>
    </r>
    <r>
      <rPr>
        <b/>
        <sz val="10"/>
        <color rgb="FF000000"/>
        <rFont val="Arial"/>
        <family val="2"/>
        <scheme val="minor"/>
      </rPr>
      <t>=SUMIF(F2:F35,"Electronics",D2:D35)</t>
    </r>
  </si>
  <si>
    <r>
      <t xml:space="preserve">To find total no.of products less than 100 use </t>
    </r>
    <r>
      <rPr>
        <b/>
        <sz val="10"/>
        <color rgb="FF000000"/>
        <rFont val="Arial"/>
        <family val="2"/>
        <scheme val="minor"/>
      </rPr>
      <t>=COUNTIF(D2:D35,"&lt;100")</t>
    </r>
  </si>
  <si>
    <r>
      <t xml:space="preserve">To find the hidh and standard price based of 500 use </t>
    </r>
    <r>
      <rPr>
        <b/>
        <sz val="10"/>
        <color rgb="FF000000"/>
        <rFont val="Arial"/>
        <family val="2"/>
        <scheme val="minor"/>
      </rPr>
      <t>=IF(D2&gt;=500,"High Price","Standard Price")</t>
    </r>
  </si>
  <si>
    <r>
      <t xml:space="preserve">To add new column and we need to take first two numbers only, we are using  </t>
    </r>
    <r>
      <rPr>
        <b/>
        <sz val="10"/>
        <color rgb="FF000000"/>
        <rFont val="Arial"/>
        <family val="2"/>
        <scheme val="minor"/>
      </rPr>
      <t>=LEFT(A2,2)</t>
    </r>
  </si>
  <si>
    <r>
      <t xml:space="preserve">To add new column and we need to take last two numbers only, we are using </t>
    </r>
    <r>
      <rPr>
        <b/>
        <sz val="10"/>
        <color rgb="FF000000"/>
        <rFont val="Arial"/>
        <family val="2"/>
        <scheme val="minor"/>
      </rPr>
      <t xml:space="preserve"> =RIGHT(A2,2)</t>
    </r>
  </si>
  <si>
    <r>
      <t xml:space="preserve">To add new column for month from product id we using </t>
    </r>
    <r>
      <rPr>
        <b/>
        <sz val="10"/>
        <color rgb="FF000000"/>
        <rFont val="Arial"/>
        <family val="2"/>
        <scheme val="minor"/>
      </rPr>
      <t>=MID(A2,4,3)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</si>
</sst>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4DD0E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8" fillId="0" borderId="0" xfId="0" applyFont="1"/>
    <xf numFmtId="0" fontId="9" fillId="2" borderId="0" xfId="0" applyFont="1" applyFill="1" applyAlignment="1">
      <alignment horizontal="center"/>
    </xf>
    <xf numFmtId="0" fontId="10" fillId="0" borderId="0" xfId="0" applyFont="1"/>
    <xf numFmtId="0" fontId="11" fillId="0" borderId="0" xfId="0" applyFont="1"/>
    <xf numFmtId="0" fontId="7" fillId="4" borderId="0" xfId="0" applyFont="1" applyFill="1" applyAlignment="1">
      <alignment horizontal="center"/>
    </xf>
    <xf numFmtId="0" fontId="14" fillId="0" borderId="0" xfId="0" applyFont="1"/>
    <xf numFmtId="0" fontId="13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6" fillId="6" borderId="3" xfId="0" applyFont="1" applyFill="1" applyBorder="1"/>
    <xf numFmtId="0" fontId="16" fillId="6" borderId="4" xfId="0" applyFont="1" applyFill="1" applyBorder="1"/>
    <xf numFmtId="0" fontId="12" fillId="7" borderId="3" xfId="0" applyFont="1" applyFill="1" applyBorder="1"/>
    <xf numFmtId="0" fontId="12" fillId="7" borderId="4" xfId="0" applyFont="1" applyFill="1" applyBorder="1"/>
    <xf numFmtId="0" fontId="12" fillId="0" borderId="3" xfId="0" applyFont="1" applyBorder="1"/>
    <xf numFmtId="0" fontId="12" fillId="0" borderId="4" xfId="0" applyFont="1" applyBorder="1"/>
    <xf numFmtId="0" fontId="17" fillId="0" borderId="3" xfId="0" applyFont="1" applyBorder="1"/>
    <xf numFmtId="0" fontId="17" fillId="7" borderId="3" xfId="0" applyFont="1" applyFill="1" applyBorder="1"/>
    <xf numFmtId="0" fontId="12" fillId="7" borderId="1" xfId="0" applyFont="1" applyFill="1" applyBorder="1"/>
    <xf numFmtId="0" fontId="12" fillId="7" borderId="2" xfId="0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588946-E230-4D7E-98BA-A5FEB7BDE51F}" name="Table2" displayName="Table2" ref="A1:J35" totalsRowShown="0">
  <autoFilter ref="A1:J35" xr:uid="{36588946-E230-4D7E-98BA-A5FEB7BDE51F}"/>
  <tableColumns count="10">
    <tableColumn id="1" xr3:uid="{19B479E3-EE6E-4486-9C84-5FED6F190AEB}" name="Product ID" dataDxfId="9"/>
    <tableColumn id="2" xr3:uid="{FB05C274-9EAB-40E1-A269-599E0741EB45}" name="Product Name" dataDxfId="8"/>
    <tableColumn id="3" xr3:uid="{AF93F1D5-240C-4059-9289-2136B8989EE7}" name="Brand Name" dataDxfId="7"/>
    <tableColumn id="4" xr3:uid="{91FDEB35-40F4-401D-905E-F38FBC8248D1}" name="Price ($)" dataDxfId="6"/>
    <tableColumn id="5" xr3:uid="{13A920A6-5DFC-4808-95CE-6FFAE290DD6B}" name="Quantity" dataDxfId="5"/>
    <tableColumn id="6" xr3:uid="{891D346E-A3A1-435A-AE5B-ADB8E3629991}" name="Category" dataDxfId="4"/>
    <tableColumn id="7" xr3:uid="{637001B0-06B2-48E5-99F8-AF82B1F0C19B}" name="Price Range" dataDxfId="3">
      <calculatedColumnFormula>IF(D2&gt;=500,"High Price","Standard Price")</calculatedColumnFormula>
    </tableColumn>
    <tableColumn id="8" xr3:uid="{FE6D96D3-8ECE-4318-B215-6CADA489688B}" name="Day" dataDxfId="2">
      <calculatedColumnFormula>LEFT(A2,2)</calculatedColumnFormula>
    </tableColumn>
    <tableColumn id="9" xr3:uid="{D5034BE6-6A47-4342-B9D7-EEEEF05C1B08}" name="Country Code" dataDxfId="1">
      <calculatedColumnFormula>RIGHT(A2,2)</calculatedColumnFormula>
    </tableColumn>
    <tableColumn id="10" xr3:uid="{38BEBDB3-E651-48D6-83B6-83969AAE1B9E}" name="Month" dataDxfId="0">
      <calculatedColumnFormula>MID(A2,4,3)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7" workbookViewId="0">
      <selection activeCell="C13" sqref="C13:O13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1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topLeftCell="L1" zoomScale="70" zoomScaleNormal="70" workbookViewId="0">
      <selection activeCell="Q6" sqref="Q6"/>
    </sheetView>
  </sheetViews>
  <sheetFormatPr defaultColWidth="12.6640625" defaultRowHeight="15" customHeight="1" x14ac:dyDescent="0.25"/>
  <cols>
    <col min="1" max="1" width="12.6640625" customWidth="1"/>
    <col min="2" max="2" width="15.88671875" customWidth="1"/>
    <col min="3" max="3" width="14.109375" customWidth="1"/>
    <col min="4" max="6" width="12.6640625" customWidth="1"/>
    <col min="7" max="7" width="20.88671875" customWidth="1"/>
    <col min="8" max="8" width="12.6640625" customWidth="1"/>
    <col min="9" max="9" width="20.77734375" customWidth="1"/>
    <col min="10" max="10" width="12.77734375" customWidth="1"/>
    <col min="11" max="11" width="19" customWidth="1"/>
    <col min="12" max="12" width="181.109375" customWidth="1"/>
    <col min="13" max="13" width="85.109375" customWidth="1"/>
    <col min="14" max="14" width="37.109375" customWidth="1"/>
  </cols>
  <sheetData>
    <row r="1" spans="1:15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125</v>
      </c>
      <c r="H1" s="16" t="s">
        <v>121</v>
      </c>
      <c r="I1" s="15" t="s">
        <v>122</v>
      </c>
      <c r="J1" s="15" t="s">
        <v>123</v>
      </c>
      <c r="L1" s="9" t="s">
        <v>111</v>
      </c>
      <c r="M1" s="9"/>
      <c r="N1" s="17" t="s">
        <v>126</v>
      </c>
      <c r="O1" s="18" t="s">
        <v>127</v>
      </c>
    </row>
    <row r="2" spans="1:15" ht="15.75" customHeight="1" x14ac:dyDescent="0.3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s="6" t="str">
        <f>LEFT(A2,2)</f>
        <v>28</v>
      </c>
      <c r="I2" s="6" t="str">
        <f>RIGHT(A2,2)</f>
        <v>US</v>
      </c>
      <c r="J2" s="6" t="str">
        <f>MID(A2,4,3)</f>
        <v>JAN</v>
      </c>
      <c r="K2" s="6"/>
      <c r="L2" s="3" t="s">
        <v>2</v>
      </c>
      <c r="M2" s="8" t="s">
        <v>128</v>
      </c>
      <c r="N2" s="19" t="s">
        <v>110</v>
      </c>
      <c r="O2" s="20">
        <f>SUM(D2:D35)</f>
        <v>10100</v>
      </c>
    </row>
    <row r="3" spans="1:15" ht="15.75" customHeight="1" x14ac:dyDescent="0.3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 t="shared" ref="G3:G35" si="0">IF(D3&gt;=500,"High Price","Standard Price")</f>
        <v>Standard Price</v>
      </c>
      <c r="H3" s="6" t="str">
        <f t="shared" ref="H3:H36" si="1">LEFT(A3,2)</f>
        <v>15</v>
      </c>
      <c r="I3" s="6" t="str">
        <f t="shared" ref="I3:I36" si="2">RIGHT(A3,2)</f>
        <v>US</v>
      </c>
      <c r="J3" s="6" t="str">
        <f t="shared" ref="J3:J35" si="3">MID(A3,4,3)</f>
        <v>FEB</v>
      </c>
      <c r="K3" s="6"/>
      <c r="L3" s="3" t="s">
        <v>3</v>
      </c>
      <c r="M3" s="10" t="s">
        <v>129</v>
      </c>
      <c r="N3" s="21" t="s">
        <v>112</v>
      </c>
      <c r="O3" s="22">
        <f>COUNT(D2:D35)</f>
        <v>34</v>
      </c>
    </row>
    <row r="4" spans="1:15" ht="15.75" customHeight="1" x14ac:dyDescent="0.3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6" t="str">
        <f t="shared" si="1"/>
        <v>03</v>
      </c>
      <c r="I4" s="6" t="str">
        <f t="shared" si="2"/>
        <v>US</v>
      </c>
      <c r="J4" s="6" t="str">
        <f t="shared" si="3"/>
        <v>MAR</v>
      </c>
      <c r="K4" s="6"/>
      <c r="L4" s="3" t="s">
        <v>4</v>
      </c>
      <c r="M4" s="11" t="s">
        <v>130</v>
      </c>
      <c r="N4" s="19" t="s">
        <v>113</v>
      </c>
      <c r="O4" s="20">
        <f>AVERAGE(D2:D35)</f>
        <v>297.05882352941177</v>
      </c>
    </row>
    <row r="5" spans="1:15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0"/>
        <v>High Price</v>
      </c>
      <c r="H5" s="6" t="str">
        <f t="shared" si="1"/>
        <v>11</v>
      </c>
      <c r="I5" s="6" t="str">
        <f t="shared" si="2"/>
        <v>US</v>
      </c>
      <c r="J5" s="6" t="str">
        <f t="shared" si="3"/>
        <v>APR</v>
      </c>
      <c r="K5" s="6"/>
      <c r="N5" s="23"/>
      <c r="O5" s="22"/>
    </row>
    <row r="6" spans="1:15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6" t="str">
        <f t="shared" si="1"/>
        <v>22</v>
      </c>
      <c r="I6" s="6" t="str">
        <f t="shared" si="2"/>
        <v>US</v>
      </c>
      <c r="J6" s="6" t="str">
        <f t="shared" si="3"/>
        <v>MAY</v>
      </c>
      <c r="K6" s="6"/>
      <c r="L6" s="12" t="s">
        <v>114</v>
      </c>
      <c r="N6" s="24"/>
      <c r="O6" s="20"/>
    </row>
    <row r="7" spans="1:15" ht="15.75" customHeight="1" x14ac:dyDescent="0.3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0"/>
        <v>Standard Price</v>
      </c>
      <c r="H7" s="6" t="str">
        <f t="shared" si="1"/>
        <v>07</v>
      </c>
      <c r="I7" s="6" t="str">
        <f t="shared" si="2"/>
        <v>UK</v>
      </c>
      <c r="J7" s="6" t="str">
        <f t="shared" si="3"/>
        <v>JUN</v>
      </c>
      <c r="K7" s="6"/>
      <c r="L7" s="3" t="s">
        <v>6</v>
      </c>
      <c r="M7" s="8" t="s">
        <v>132</v>
      </c>
      <c r="N7" s="21" t="s">
        <v>116</v>
      </c>
      <c r="O7" s="22">
        <f>MIN(D2:D35)</f>
        <v>30</v>
      </c>
    </row>
    <row r="8" spans="1:15" ht="15.75" customHeight="1" x14ac:dyDescent="0.3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6" t="str">
        <f t="shared" si="1"/>
        <v>19</v>
      </c>
      <c r="I8" s="6" t="str">
        <f t="shared" si="2"/>
        <v>UK</v>
      </c>
      <c r="J8" s="6" t="str">
        <f t="shared" si="3"/>
        <v>JUL</v>
      </c>
      <c r="K8" s="6"/>
      <c r="L8" s="3" t="s">
        <v>7</v>
      </c>
      <c r="M8" s="8" t="s">
        <v>131</v>
      </c>
      <c r="N8" s="19" t="s">
        <v>117</v>
      </c>
      <c r="O8" s="20">
        <f>MAX(D2:D35)</f>
        <v>1000</v>
      </c>
    </row>
    <row r="9" spans="1:15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0"/>
        <v>Standard Price</v>
      </c>
      <c r="H9" s="6" t="str">
        <f t="shared" si="1"/>
        <v>23</v>
      </c>
      <c r="I9" s="6" t="str">
        <f t="shared" si="2"/>
        <v>UK</v>
      </c>
      <c r="J9" s="6" t="str">
        <f t="shared" si="3"/>
        <v>AUG</v>
      </c>
      <c r="K9" s="6"/>
      <c r="N9" s="23"/>
      <c r="O9" s="22"/>
    </row>
    <row r="10" spans="1:15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6" t="str">
        <f t="shared" si="1"/>
        <v>05</v>
      </c>
      <c r="I10" s="6" t="str">
        <f t="shared" si="2"/>
        <v>UK</v>
      </c>
      <c r="J10" s="6" t="str">
        <f t="shared" si="3"/>
        <v>SEP</v>
      </c>
      <c r="K10" s="6"/>
      <c r="L10" s="12" t="s">
        <v>124</v>
      </c>
      <c r="N10" s="24"/>
      <c r="O10" s="20"/>
    </row>
    <row r="11" spans="1:15" ht="15.75" customHeight="1" x14ac:dyDescent="0.3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0"/>
        <v>Standard Price</v>
      </c>
      <c r="H11" s="6" t="str">
        <f t="shared" si="1"/>
        <v>14</v>
      </c>
      <c r="I11" s="6" t="str">
        <f t="shared" si="2"/>
        <v>UK</v>
      </c>
      <c r="J11" s="6" t="str">
        <f t="shared" si="3"/>
        <v>OCT</v>
      </c>
      <c r="K11" s="6"/>
      <c r="L11" s="3" t="s">
        <v>11</v>
      </c>
      <c r="M11" s="8" t="s">
        <v>133</v>
      </c>
      <c r="N11" s="21" t="s">
        <v>118</v>
      </c>
      <c r="O11" s="22">
        <f>SUMIF(F2:F35,"Electronics",D2:D35)</f>
        <v>8050</v>
      </c>
    </row>
    <row r="12" spans="1:15" ht="15.75" customHeight="1" x14ac:dyDescent="0.3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6" t="str">
        <f t="shared" si="1"/>
        <v>17</v>
      </c>
      <c r="I12" s="6" t="str">
        <f t="shared" si="2"/>
        <v>IN</v>
      </c>
      <c r="J12" s="6" t="str">
        <f t="shared" si="3"/>
        <v>JUN</v>
      </c>
      <c r="K12" s="6"/>
      <c r="L12" s="3" t="s">
        <v>12</v>
      </c>
      <c r="M12" s="8" t="s">
        <v>134</v>
      </c>
      <c r="N12" s="25" t="s">
        <v>119</v>
      </c>
      <c r="O12" s="26">
        <f>COUNTIF(D2:D35,"&lt;100")</f>
        <v>11</v>
      </c>
    </row>
    <row r="13" spans="1:15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0"/>
        <v>Standard Price</v>
      </c>
      <c r="H13" s="6" t="str">
        <f t="shared" si="1"/>
        <v>25</v>
      </c>
      <c r="I13" s="6" t="str">
        <f t="shared" si="2"/>
        <v>AU</v>
      </c>
      <c r="J13" s="6" t="str">
        <f t="shared" si="3"/>
        <v>NOV</v>
      </c>
      <c r="K13" s="6"/>
    </row>
    <row r="14" spans="1:15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6" t="str">
        <f t="shared" si="1"/>
        <v>08</v>
      </c>
      <c r="I14" s="6" t="str">
        <f t="shared" si="2"/>
        <v>DE</v>
      </c>
      <c r="J14" s="6" t="str">
        <f t="shared" si="3"/>
        <v>DEC</v>
      </c>
      <c r="K14" s="6"/>
      <c r="L14" s="12" t="s">
        <v>115</v>
      </c>
    </row>
    <row r="15" spans="1:15" ht="15.75" customHeight="1" x14ac:dyDescent="0.3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0"/>
        <v>Standard Price</v>
      </c>
      <c r="H15" s="6" t="str">
        <f t="shared" si="1"/>
        <v>18</v>
      </c>
      <c r="I15" s="6" t="str">
        <f t="shared" si="2"/>
        <v>CA</v>
      </c>
      <c r="J15" s="6" t="str">
        <f t="shared" si="3"/>
        <v>FEB</v>
      </c>
      <c r="K15" s="6"/>
      <c r="L15" s="3" t="s">
        <v>9</v>
      </c>
      <c r="M15" s="8" t="s">
        <v>135</v>
      </c>
    </row>
    <row r="16" spans="1:15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6" t="str">
        <f t="shared" si="1"/>
        <v>16</v>
      </c>
      <c r="I16" s="6" t="str">
        <f t="shared" si="2"/>
        <v>ES</v>
      </c>
      <c r="J16" s="6" t="str">
        <f t="shared" si="3"/>
        <v>APR</v>
      </c>
      <c r="K16" s="6"/>
    </row>
    <row r="17" spans="1:13" ht="15.75" customHeight="1" x14ac:dyDescent="0.3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0"/>
        <v>Standard Price</v>
      </c>
      <c r="H17" s="6" t="str">
        <f t="shared" si="1"/>
        <v>21</v>
      </c>
      <c r="I17" s="6" t="str">
        <f t="shared" si="2"/>
        <v>CA</v>
      </c>
      <c r="J17" s="6" t="str">
        <f t="shared" si="3"/>
        <v>AUG</v>
      </c>
      <c r="K17" s="6"/>
      <c r="L17" s="14" t="s">
        <v>120</v>
      </c>
    </row>
    <row r="18" spans="1:13" ht="15.75" customHeight="1" x14ac:dyDescent="0.3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6" t="str">
        <f t="shared" si="1"/>
        <v>20</v>
      </c>
      <c r="I18" s="6" t="str">
        <f t="shared" si="2"/>
        <v>CN</v>
      </c>
      <c r="J18" s="6" t="str">
        <f t="shared" si="3"/>
        <v>AUG</v>
      </c>
      <c r="K18" s="6"/>
      <c r="L18" s="13" t="s">
        <v>14</v>
      </c>
      <c r="M18" s="8" t="s">
        <v>136</v>
      </c>
    </row>
    <row r="19" spans="1:13" ht="15.75" customHeight="1" x14ac:dyDescent="0.3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0"/>
        <v>High Price</v>
      </c>
      <c r="H19" s="6" t="str">
        <f t="shared" si="1"/>
        <v>27</v>
      </c>
      <c r="I19" s="6" t="str">
        <f t="shared" si="2"/>
        <v>IT</v>
      </c>
      <c r="J19" s="6" t="str">
        <f t="shared" si="3"/>
        <v>JAN</v>
      </c>
      <c r="K19" s="6"/>
      <c r="L19" s="3" t="s">
        <v>15</v>
      </c>
      <c r="M19" s="8" t="s">
        <v>137</v>
      </c>
    </row>
    <row r="20" spans="1:13" ht="15.75" customHeight="1" x14ac:dyDescent="0.3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6" t="str">
        <f t="shared" si="1"/>
        <v>01</v>
      </c>
      <c r="I20" s="6" t="str">
        <f t="shared" si="2"/>
        <v>UK</v>
      </c>
      <c r="J20" s="6" t="str">
        <f t="shared" si="3"/>
        <v>MAR</v>
      </c>
      <c r="K20" s="6"/>
      <c r="L20" s="3" t="s">
        <v>16</v>
      </c>
      <c r="M20" s="8" t="s">
        <v>138</v>
      </c>
    </row>
    <row r="21" spans="1:13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0"/>
        <v>Standard Price</v>
      </c>
      <c r="H21" s="6" t="str">
        <f t="shared" si="1"/>
        <v>14</v>
      </c>
      <c r="I21" s="6" t="str">
        <f t="shared" si="2"/>
        <v>US</v>
      </c>
      <c r="J21" s="6" t="str">
        <f t="shared" si="3"/>
        <v>AUG</v>
      </c>
      <c r="K21" s="6"/>
    </row>
    <row r="22" spans="1:13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6" t="str">
        <f t="shared" si="1"/>
        <v>14</v>
      </c>
      <c r="I22" s="6" t="str">
        <f t="shared" si="2"/>
        <v>RU</v>
      </c>
      <c r="J22" s="6" t="str">
        <f t="shared" si="3"/>
        <v>MAY</v>
      </c>
      <c r="K22" s="6"/>
    </row>
    <row r="23" spans="1:13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0"/>
        <v>Standard Price</v>
      </c>
      <c r="H23" s="6" t="str">
        <f t="shared" si="1"/>
        <v>09</v>
      </c>
      <c r="I23" s="6" t="str">
        <f t="shared" si="2"/>
        <v>CA</v>
      </c>
      <c r="J23" s="6" t="str">
        <f t="shared" si="3"/>
        <v>JAN</v>
      </c>
      <c r="K23" s="6"/>
    </row>
    <row r="24" spans="1:13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6" t="str">
        <f t="shared" si="1"/>
        <v>19</v>
      </c>
      <c r="I24" s="6" t="str">
        <f t="shared" si="2"/>
        <v>BR</v>
      </c>
      <c r="J24" s="6" t="str">
        <f t="shared" si="3"/>
        <v>JUL</v>
      </c>
      <c r="K24" s="6"/>
    </row>
    <row r="25" spans="1:13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0"/>
        <v>Standard Price</v>
      </c>
      <c r="H25" s="6" t="str">
        <f t="shared" si="1"/>
        <v>21</v>
      </c>
      <c r="I25" s="6" t="str">
        <f t="shared" si="2"/>
        <v>CA</v>
      </c>
      <c r="J25" s="6" t="str">
        <f t="shared" si="3"/>
        <v>AUG</v>
      </c>
      <c r="K25" s="6"/>
    </row>
    <row r="26" spans="1:13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6" t="str">
        <f t="shared" si="1"/>
        <v>29</v>
      </c>
      <c r="I26" s="6" t="str">
        <f t="shared" si="2"/>
        <v>CA</v>
      </c>
      <c r="J26" s="6" t="str">
        <f t="shared" si="3"/>
        <v>SEP</v>
      </c>
      <c r="K26" s="6"/>
    </row>
    <row r="27" spans="1:13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0"/>
        <v>Standard Price</v>
      </c>
      <c r="H27" s="6" t="str">
        <f t="shared" si="1"/>
        <v>03</v>
      </c>
      <c r="I27" s="6" t="str">
        <f t="shared" si="2"/>
        <v>CA</v>
      </c>
      <c r="J27" s="6" t="str">
        <f t="shared" si="3"/>
        <v>JUN</v>
      </c>
      <c r="K27" s="6"/>
    </row>
    <row r="28" spans="1:13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6" t="str">
        <f t="shared" si="1"/>
        <v>11</v>
      </c>
      <c r="I28" s="6" t="str">
        <f t="shared" si="2"/>
        <v>CA</v>
      </c>
      <c r="J28" s="6" t="str">
        <f t="shared" si="3"/>
        <v>JUL</v>
      </c>
      <c r="K28" s="6"/>
    </row>
    <row r="29" spans="1:13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0"/>
        <v>Standard Price</v>
      </c>
      <c r="H29" s="6" t="str">
        <f t="shared" si="1"/>
        <v>16</v>
      </c>
      <c r="I29" s="6" t="str">
        <f t="shared" si="2"/>
        <v>ES</v>
      </c>
      <c r="J29" s="6" t="str">
        <f t="shared" si="3"/>
        <v>APR</v>
      </c>
      <c r="K29" s="6"/>
    </row>
    <row r="30" spans="1:13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6" t="str">
        <f t="shared" si="1"/>
        <v>07</v>
      </c>
      <c r="I30" s="6" t="str">
        <f t="shared" si="2"/>
        <v>CA</v>
      </c>
      <c r="J30" s="6" t="str">
        <f t="shared" si="3"/>
        <v>MAR</v>
      </c>
      <c r="K30" s="6"/>
    </row>
    <row r="31" spans="1:13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0"/>
        <v>Standard Price</v>
      </c>
      <c r="H31" s="6" t="str">
        <f t="shared" si="1"/>
        <v>13</v>
      </c>
      <c r="I31" s="6" t="str">
        <f t="shared" si="2"/>
        <v>CA</v>
      </c>
      <c r="J31" s="6" t="str">
        <f t="shared" si="3"/>
        <v>APR</v>
      </c>
      <c r="K31" s="6"/>
    </row>
    <row r="32" spans="1:13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6" t="str">
        <f t="shared" si="1"/>
        <v>24</v>
      </c>
      <c r="I32" s="6" t="str">
        <f t="shared" si="2"/>
        <v>CA</v>
      </c>
      <c r="J32" s="6" t="str">
        <f t="shared" si="3"/>
        <v>MAY</v>
      </c>
      <c r="K32" s="6"/>
    </row>
    <row r="33" spans="1:11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0"/>
        <v>Standard Price</v>
      </c>
      <c r="H33" s="6" t="str">
        <f t="shared" si="1"/>
        <v>02</v>
      </c>
      <c r="I33" s="6" t="str">
        <f t="shared" si="2"/>
        <v>CA</v>
      </c>
      <c r="J33" s="6" t="str">
        <f t="shared" si="3"/>
        <v>DEC</v>
      </c>
      <c r="K33" s="6"/>
    </row>
    <row r="34" spans="1:11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6" t="str">
        <f t="shared" si="1"/>
        <v>17</v>
      </c>
      <c r="I34" s="6" t="str">
        <f t="shared" si="2"/>
        <v>IN</v>
      </c>
      <c r="J34" s="6" t="str">
        <f t="shared" si="3"/>
        <v>JUN</v>
      </c>
      <c r="K34" s="6"/>
    </row>
    <row r="35" spans="1:11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0"/>
        <v>Standard Price</v>
      </c>
      <c r="H35" s="6" t="str">
        <f t="shared" si="1"/>
        <v>09</v>
      </c>
      <c r="I35" s="6" t="str">
        <f t="shared" si="2"/>
        <v>FR</v>
      </c>
      <c r="J35" s="6" t="str">
        <f t="shared" si="3"/>
        <v>JUL</v>
      </c>
      <c r="K35" s="6"/>
    </row>
    <row r="36" spans="1:11" ht="15.75" customHeight="1" x14ac:dyDescent="0.25">
      <c r="H36" s="6" t="str">
        <f t="shared" si="1"/>
        <v/>
      </c>
      <c r="I36" s="6" t="str">
        <f t="shared" si="2"/>
        <v/>
      </c>
      <c r="J36" s="6"/>
      <c r="K36" s="6"/>
    </row>
    <row r="37" spans="1:11" ht="15.75" customHeight="1" x14ac:dyDescent="0.25"/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 Justin</cp:lastModifiedBy>
  <dcterms:created xsi:type="dcterms:W3CDTF">2026-09-03T19:55:39Z</dcterms:created>
  <dcterms:modified xsi:type="dcterms:W3CDTF">2026-09-04T03:34:05Z</dcterms:modified>
</cp:coreProperties>
</file>